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If_Model" sheetId="1" state="visible" r:id="rId1"/>
    <sheet name="Segmen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6"/>
    </font>
    <font>
      <name val="Calibri"/>
      <i val="1"/>
      <color rgb="00595959"/>
      <sz val="11"/>
    </font>
    <font>
      <name val="Calibri"/>
      <b val="1"/>
      <color rgb="001F4E78"/>
      <sz val="13"/>
    </font>
    <font>
      <name val="Calibri"/>
      <b val="1"/>
      <sz val="11"/>
    </font>
    <font>
      <name val="Calibri"/>
      <sz val="11"/>
    </font>
    <font>
      <name val="Calibri"/>
      <b val="1"/>
      <color rgb="00006100"/>
      <sz val="12"/>
    </font>
    <font>
      <name val="Calibri"/>
      <i val="1"/>
      <color rgb="00C00000"/>
      <sz val="10"/>
    </font>
    <font>
      <name val="Calibri"/>
      <b val="1"/>
      <color rgb="00274E13"/>
      <sz val="13"/>
    </font>
    <font>
      <name val="Calibri"/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8EA9DB"/>
      </left>
      <right style="medium">
        <color rgb="008EA9DB"/>
      </right>
      <top style="medium">
        <color rgb="008EA9DB"/>
      </top>
      <bottom style="medium">
        <color rgb="008EA9DB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0" fontId="5" fillId="0" borderId="0" pivotButton="0" quotePrefix="0" xfId="0"/>
    <xf numFmtId="165" fontId="7" fillId="3" borderId="2" applyAlignment="1" pivotButton="0" quotePrefix="0" xfId="0">
      <alignment horizontal="center" vertical="center"/>
    </xf>
    <xf numFmtId="0" fontId="8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9" fillId="4" borderId="3" pivotButton="0" quotePrefix="0" xfId="0"/>
    <xf numFmtId="164" fontId="9" fillId="4" borderId="3" pivotButton="0" quotePrefix="0" xfId="0"/>
    <xf numFmtId="0" fontId="1" fillId="2" borderId="0" applyAlignment="1" pivotButton="0" quotePrefix="0" xfId="0">
      <alignment horizontal="center" vertical="center" wrapText="1"/>
    </xf>
    <xf numFmtId="165" fontId="6" fillId="0" borderId="1" pivotButton="0" quotePrefix="0" xfId="0"/>
    <xf numFmtId="10" fontId="6" fillId="0" borderId="1" pivotButton="0" quotePrefix="0" xfId="0"/>
    <xf numFmtId="3" fontId="6" fillId="0" borderId="1" pivotButton="0" quotePrefix="0" xfId="0"/>
    <xf numFmtId="164" fontId="6" fillId="0" borderId="1" pivotButton="0" quotePrefix="0" xfId="0"/>
    <xf numFmtId="165" fontId="5" fillId="4" borderId="1" pivotButton="0" quotePrefix="0" xfId="0"/>
    <xf numFmtId="10" fontId="5" fillId="4" borderId="1" pivotButton="0" quotePrefix="0" xfId="0"/>
    <xf numFmtId="3" fontId="5" fillId="4" borderId="1" pivotButton="0" quotePrefix="0" xfId="0"/>
    <xf numFmtId="164" fontId="5" fillId="4" borderId="1" pivotButton="0" quotePrefix="0" xfId="0"/>
    <xf numFmtId="164" fontId="1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25" customWidth="1" min="3" max="3"/>
    <col width="26" customWidth="1" min="4" max="4"/>
    <col width="32" customWidth="1" min="5" max="5"/>
  </cols>
  <sheetData>
    <row r="1"/>
    <row r="2" ht="40" customHeight="1">
      <c r="A2" s="1" t="inlineStr">
        <is>
          <t>CUSTOMER CHURN RETENTION — WHAT-IF REVENUE MODEL</t>
        </is>
      </c>
    </row>
    <row r="3">
      <c r="A3" s="2" t="inlineStr">
        <is>
          <t>Executive Financial Model &amp; Churn Reduction Sensitivity Analysis</t>
        </is>
      </c>
    </row>
    <row r="4"/>
    <row r="5">
      <c r="A5" s="3" t="inlineStr">
        <is>
          <t>1. Model Input Parameters</t>
        </is>
      </c>
    </row>
    <row r="6">
      <c r="A6" s="4" t="inlineStr">
        <is>
          <t>Target Focus Segment:</t>
        </is>
      </c>
      <c r="B6" s="4" t="inlineStr">
        <is>
          <t>Month-to-Month Contract Customers</t>
        </is>
      </c>
    </row>
    <row r="7">
      <c r="A7" s="5" t="inlineStr">
        <is>
          <t>Baseline Churn Rate:</t>
        </is>
      </c>
      <c r="B7" s="6">
        <f>Segment_Data!E2</f>
        <v/>
      </c>
    </row>
    <row r="8">
      <c r="A8" s="4" t="inlineStr">
        <is>
          <t>Target Churn Reduction (%):</t>
        </is>
      </c>
      <c r="B8" s="7" t="n">
        <v>0.1</v>
      </c>
      <c r="C8" s="8" t="inlineStr">
        <is>
          <t>← [EDITABLE INPUT CELL]</t>
        </is>
      </c>
    </row>
    <row r="9">
      <c r="A9" s="5" t="inlineStr">
        <is>
          <t>Effective Target Churn Rate:</t>
        </is>
      </c>
      <c r="B9" s="6">
        <f>B7*(1-B8)</f>
        <v/>
      </c>
    </row>
    <row r="10"/>
    <row r="11">
      <c r="A11" s="3" t="inlineStr">
        <is>
          <t>2. Financial Impact Summary (Focus Segment)</t>
        </is>
      </c>
    </row>
    <row r="12">
      <c r="A12" s="5" t="inlineStr">
        <is>
          <t>Baseline Annualized Revenue at Risk:</t>
        </is>
      </c>
      <c r="B12" s="9">
        <f>Segment_Data!G2</f>
        <v/>
      </c>
    </row>
    <row r="13">
      <c r="A13" s="5" t="inlineStr">
        <is>
          <t>Baseline Monthly Revenue at Risk:</t>
        </is>
      </c>
      <c r="B13" s="9">
        <f>Segment_Data!F2</f>
        <v/>
      </c>
    </row>
    <row r="14">
      <c r="A14" s="5" t="inlineStr">
        <is>
          <t>Baseline Churned Customer Count:</t>
        </is>
      </c>
      <c r="B14" s="10">
        <f>Segment_Data!D2</f>
        <v/>
      </c>
    </row>
    <row r="15">
      <c r="A15" s="4" t="inlineStr">
        <is>
          <t>Retained Customer Count (Target):</t>
        </is>
      </c>
      <c r="B15" s="11">
        <f>ROUND(B14*B8, 0)</f>
        <v/>
      </c>
    </row>
    <row r="16">
      <c r="A16" s="4" t="inlineStr">
        <is>
          <t>Monthly Recurring Revenue Retained:</t>
        </is>
      </c>
      <c r="B16" s="12">
        <f>B13*B8</f>
        <v/>
      </c>
    </row>
    <row r="17">
      <c r="A17" s="13" t="inlineStr">
        <is>
          <t>ANNUALIZED REVENUE SAVED (ARR):</t>
        </is>
      </c>
      <c r="B17" s="14">
        <f>B16*12</f>
        <v/>
      </c>
    </row>
    <row r="18"/>
    <row r="19">
      <c r="A19" s="3" t="inlineStr">
        <is>
          <t>3. Retention Target Sensitivity Matrix</t>
        </is>
      </c>
    </row>
    <row r="20" ht="28" customHeight="1">
      <c r="A20" s="15" t="inlineStr">
        <is>
          <t>Churn Reduction Target</t>
        </is>
      </c>
      <c r="B20" s="15" t="inlineStr">
        <is>
          <t>Effective Churn Rate</t>
        </is>
      </c>
      <c r="C20" s="15" t="inlineStr">
        <is>
          <t>Retained Accounts</t>
        </is>
      </c>
      <c r="D20" s="15" t="inlineStr">
        <is>
          <t>Monthly Revenue Retained</t>
        </is>
      </c>
      <c r="E20" s="15" t="inlineStr">
        <is>
          <t>Annualized Revenue Saved (ARR)</t>
        </is>
      </c>
    </row>
    <row r="21">
      <c r="A21" s="16" t="n">
        <v>0.05</v>
      </c>
      <c r="B21" s="17">
        <f>B7*(1-A21)</f>
        <v/>
      </c>
      <c r="C21" s="18">
        <f>ROUND(Segment_Data!D2*A21, 0)</f>
        <v/>
      </c>
      <c r="D21" s="19">
        <f>Segment_Data!F2*A21</f>
        <v/>
      </c>
      <c r="E21" s="19">
        <f>D21*12</f>
        <v/>
      </c>
    </row>
    <row r="22">
      <c r="A22" s="20" t="n">
        <v>0.1</v>
      </c>
      <c r="B22" s="21">
        <f>B7*(1-A22)</f>
        <v/>
      </c>
      <c r="C22" s="22">
        <f>ROUND(Segment_Data!D2*A22, 0)</f>
        <v/>
      </c>
      <c r="D22" s="23">
        <f>Segment_Data!F2*A22</f>
        <v/>
      </c>
      <c r="E22" s="23">
        <f>D22*12</f>
        <v/>
      </c>
    </row>
    <row r="23">
      <c r="A23" s="16" t="n">
        <v>0.15</v>
      </c>
      <c r="B23" s="17">
        <f>B7*(1-A23)</f>
        <v/>
      </c>
      <c r="C23" s="18">
        <f>ROUND(Segment_Data!D2*A23, 0)</f>
        <v/>
      </c>
      <c r="D23" s="19">
        <f>Segment_Data!F2*A23</f>
        <v/>
      </c>
      <c r="E23" s="19">
        <f>D23*12</f>
        <v/>
      </c>
    </row>
    <row r="24">
      <c r="A24" s="16" t="n">
        <v>0.2</v>
      </c>
      <c r="B24" s="17">
        <f>B7*(1-A24)</f>
        <v/>
      </c>
      <c r="C24" s="18">
        <f>ROUND(Segment_Data!D2*A24, 0)</f>
        <v/>
      </c>
      <c r="D24" s="19">
        <f>Segment_Data!F2*A24</f>
        <v/>
      </c>
      <c r="E24" s="19">
        <f>D24*12</f>
        <v/>
      </c>
    </row>
    <row r="25">
      <c r="A25" s="16" t="n">
        <v>0.25</v>
      </c>
      <c r="B25" s="17">
        <f>B7*(1-A25)</f>
        <v/>
      </c>
      <c r="C25" s="18">
        <f>ROUND(Segment_Data!D2*A25, 0)</f>
        <v/>
      </c>
      <c r="D25" s="19">
        <f>Segment_Data!F2*A25</f>
        <v/>
      </c>
      <c r="E25" s="19">
        <f>D25*12</f>
        <v/>
      </c>
    </row>
    <row r="26"/>
    <row r="27"/>
    <row r="28">
      <c r="A28" s="3" t="inlineStr">
        <is>
          <t>4. Total Company Baseline Metrics (All Segments)</t>
        </is>
      </c>
    </row>
    <row r="29">
      <c r="A29" s="5" t="inlineStr">
        <is>
          <t>Total Company Customer Base:</t>
        </is>
      </c>
      <c r="B29" s="11">
        <f>Segment_Data!C10</f>
        <v/>
      </c>
    </row>
    <row r="30">
      <c r="A30" s="5" t="inlineStr">
        <is>
          <t>Total Company Churned Customers:</t>
        </is>
      </c>
      <c r="B30" s="11">
        <f>Segment_Data!D10</f>
        <v/>
      </c>
    </row>
    <row r="31">
      <c r="A31" s="4" t="inlineStr">
        <is>
          <t>Total Annualized Revenue at Risk (All Segments):</t>
        </is>
      </c>
      <c r="B31" s="24">
        <f>Segment_Data!G10</f>
        <v/>
      </c>
    </row>
  </sheetData>
  <mergeCells count="1"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9" customWidth="1" min="3" max="3"/>
    <col width="21" customWidth="1" min="4" max="4"/>
    <col width="23" customWidth="1" min="5" max="5"/>
    <col width="27" customWidth="1" min="6" max="6"/>
    <col width="30" customWidth="1" min="7" max="7"/>
  </cols>
  <sheetData>
    <row r="1">
      <c r="A1" s="25" t="inlineStr">
        <is>
          <t>Segment Name</t>
        </is>
      </c>
      <c r="B1" s="25" t="inlineStr">
        <is>
          <t>Category</t>
        </is>
      </c>
      <c r="C1" s="25" t="inlineStr">
        <is>
          <t>Total Customers</t>
        </is>
      </c>
      <c r="D1" s="25" t="inlineStr">
        <is>
          <t>Churned Customers</t>
        </is>
      </c>
      <c r="E1" s="25" t="inlineStr">
        <is>
          <t>Baseline Churn Rate</t>
        </is>
      </c>
      <c r="F1" s="25" t="inlineStr">
        <is>
          <t>Monthly Revenue at Risk</t>
        </is>
      </c>
      <c r="G1" s="25" t="inlineStr">
        <is>
          <t>Annualized Revenue at Risk</t>
        </is>
      </c>
    </row>
    <row r="2">
      <c r="A2" s="26" t="inlineStr">
        <is>
          <t>Month-to-Month Contracts</t>
        </is>
      </c>
      <c r="B2" s="26" t="inlineStr">
        <is>
          <t>Contract</t>
        </is>
      </c>
      <c r="C2" s="27" t="n">
        <v>3875</v>
      </c>
      <c r="D2" s="27" t="n">
        <v>1655</v>
      </c>
      <c r="E2" s="28" t="n">
        <v>0.4271</v>
      </c>
      <c r="F2" s="29" t="n">
        <v>113382.45</v>
      </c>
      <c r="G2" s="29" t="n">
        <v>1360589.4</v>
      </c>
    </row>
    <row r="3">
      <c r="A3" s="26" t="inlineStr">
        <is>
          <t>One-Year Contracts</t>
        </is>
      </c>
      <c r="B3" s="26" t="inlineStr">
        <is>
          <t>Contract</t>
        </is>
      </c>
      <c r="C3" s="27" t="n">
        <v>1473</v>
      </c>
      <c r="D3" s="27" t="n">
        <v>166</v>
      </c>
      <c r="E3" s="28" t="n">
        <v>0.1127</v>
      </c>
      <c r="F3" s="29" t="n">
        <v>11585.8</v>
      </c>
      <c r="G3" s="29" t="n">
        <v>139029.6</v>
      </c>
    </row>
    <row r="4">
      <c r="A4" s="26" t="inlineStr">
        <is>
          <t>Two-Year Contracts</t>
        </is>
      </c>
      <c r="B4" s="26" t="inlineStr">
        <is>
          <t>Contract</t>
        </is>
      </c>
      <c r="C4" s="27" t="n">
        <v>1695</v>
      </c>
      <c r="D4" s="27" t="n">
        <v>48</v>
      </c>
      <c r="E4" s="28" t="n">
        <v>0.0283</v>
      </c>
      <c r="F4" s="29" t="n">
        <v>3612.45</v>
      </c>
      <c r="G4" s="29" t="n">
        <v>43349.4</v>
      </c>
    </row>
    <row r="5">
      <c r="A5" s="26" t="inlineStr">
        <is>
          <t>Fiber Optic Internet</t>
        </is>
      </c>
      <c r="B5" s="26" t="inlineStr">
        <is>
          <t>Internet Service</t>
        </is>
      </c>
      <c r="C5" s="27" t="n">
        <v>3096</v>
      </c>
      <c r="D5" s="27" t="n">
        <v>1297</v>
      </c>
      <c r="E5" s="28" t="n">
        <v>0.4189</v>
      </c>
      <c r="F5" s="29" t="n">
        <v>107762.6</v>
      </c>
      <c r="G5" s="29" t="n">
        <v>1293151.2</v>
      </c>
    </row>
    <row r="6">
      <c r="A6" s="26" t="inlineStr">
        <is>
          <t>DSL Internet</t>
        </is>
      </c>
      <c r="B6" s="26" t="inlineStr">
        <is>
          <t>Internet Service</t>
        </is>
      </c>
      <c r="C6" s="27" t="n">
        <v>2421</v>
      </c>
      <c r="D6" s="27" t="n">
        <v>459</v>
      </c>
      <c r="E6" s="28" t="n">
        <v>0.1896</v>
      </c>
      <c r="F6" s="29" t="n">
        <v>21976.25</v>
      </c>
      <c r="G6" s="29" t="n">
        <v>263715</v>
      </c>
    </row>
    <row r="7">
      <c r="A7" s="26" t="inlineStr">
        <is>
          <t>No Internet Service</t>
        </is>
      </c>
      <c r="B7" s="26" t="inlineStr">
        <is>
          <t>Internet Service</t>
        </is>
      </c>
      <c r="C7" s="27" t="n">
        <v>1526</v>
      </c>
      <c r="D7" s="27" t="n">
        <v>113</v>
      </c>
      <c r="E7" s="28" t="n">
        <v>0.074</v>
      </c>
      <c r="F7" s="29" t="n">
        <v>9391.85</v>
      </c>
      <c r="G7" s="29" t="n">
        <v>112702.2</v>
      </c>
    </row>
    <row r="8">
      <c r="A8" s="26" t="inlineStr">
        <is>
          <t>Electronic Check Payment</t>
        </is>
      </c>
      <c r="B8" s="26" t="inlineStr">
        <is>
          <t>Payment Method</t>
        </is>
      </c>
      <c r="C8" s="27" t="n">
        <v>2365</v>
      </c>
      <c r="D8" s="27" t="n">
        <v>1071</v>
      </c>
      <c r="E8" s="28" t="n">
        <v>0.4529</v>
      </c>
      <c r="F8" s="29" t="n">
        <v>79271.64999999999</v>
      </c>
      <c r="G8" s="29" t="n">
        <v>951259.8</v>
      </c>
    </row>
    <row r="9">
      <c r="A9" s="26" t="inlineStr">
        <is>
          <t>0-12 Months Tenure</t>
        </is>
      </c>
      <c r="B9" s="26" t="inlineStr">
        <is>
          <t>Tenure Bucket</t>
        </is>
      </c>
      <c r="C9" s="27" t="n">
        <v>2186</v>
      </c>
      <c r="D9" s="27" t="n">
        <v>1037</v>
      </c>
      <c r="E9" s="28" t="n">
        <v>0.4744</v>
      </c>
      <c r="F9" s="29" t="n">
        <v>60250.75</v>
      </c>
      <c r="G9" s="29" t="n">
        <v>723009</v>
      </c>
    </row>
    <row r="10">
      <c r="A10" s="26" t="inlineStr">
        <is>
          <t>Total Company Overall</t>
        </is>
      </c>
      <c r="B10" s="26" t="inlineStr">
        <is>
          <t>Overall</t>
        </is>
      </c>
      <c r="C10" s="27" t="n">
        <v>7043</v>
      </c>
      <c r="D10" s="27" t="n">
        <v>1869</v>
      </c>
      <c r="E10" s="28" t="n">
        <v>0.2654</v>
      </c>
      <c r="F10" s="29" t="n">
        <v>139130.85</v>
      </c>
      <c r="G10" s="29" t="n">
        <v>1669570.2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2026-07-25T10:53:00Z</dcterms:created>
  <dcterms:modified xsi:type="dcterms:W3CDTF">2026-07-25T10:53:00Z</dcterms:modified>
</cp:coreProperties>
</file>